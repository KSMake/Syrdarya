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37" i="1" l="1"/>
  <c r="Y37" i="1"/>
  <c r="N37" i="1"/>
  <c r="AJ34" i="1"/>
  <c r="Y34" i="1"/>
  <c r="N34" i="1"/>
</calcChain>
</file>

<file path=xl/sharedStrings.xml><?xml version="1.0" encoding="utf-8"?>
<sst xmlns="http://schemas.openxmlformats.org/spreadsheetml/2006/main" count="43" uniqueCount="41">
  <si>
    <t>SN</t>
  </si>
  <si>
    <t>Название канала или гидропоста</t>
  </si>
  <si>
    <t>Limit</t>
  </si>
  <si>
    <t>Date</t>
  </si>
  <si>
    <t>I</t>
  </si>
  <si>
    <t>II</t>
  </si>
  <si>
    <t>III</t>
  </si>
  <si>
    <t>Выпуск из Токтогульского водохр.</t>
  </si>
  <si>
    <t>ЛНК</t>
  </si>
  <si>
    <t xml:space="preserve">    в том числе:           Узбекистан</t>
  </si>
  <si>
    <t xml:space="preserve">                    Кыргызстан</t>
  </si>
  <si>
    <t>БНК</t>
  </si>
  <si>
    <t xml:space="preserve">Выпуск с Учкурганской ГЭС </t>
  </si>
  <si>
    <t>БФК +КДП</t>
  </si>
  <si>
    <t xml:space="preserve">    в том числе:          Узбекистан</t>
  </si>
  <si>
    <t xml:space="preserve">                      Таджикистан</t>
  </si>
  <si>
    <t>Кыргызстан</t>
  </si>
  <si>
    <t>СФК</t>
  </si>
  <si>
    <t xml:space="preserve">         в том числе           Узбекистан</t>
  </si>
  <si>
    <t>Таджикистан</t>
  </si>
  <si>
    <t>0.95</t>
  </si>
  <si>
    <t>Канал Зардарья</t>
  </si>
  <si>
    <r>
      <rPr>
        <b/>
        <sz val="10"/>
        <rFont val="Arial"/>
        <family val="2"/>
        <charset val="204"/>
      </rPr>
      <t>г/п Учтепа</t>
    </r>
    <r>
      <rPr>
        <sz val="10"/>
        <rFont val="Arial"/>
        <family val="2"/>
        <charset val="204"/>
      </rPr>
      <t xml:space="preserve"> </t>
    </r>
  </si>
  <si>
    <t xml:space="preserve">г/п Каль   </t>
  </si>
  <si>
    <t>г/п Акджар</t>
  </si>
  <si>
    <t>н/ст. выше Бахри Точик</t>
  </si>
  <si>
    <t>н/ст. из Бахри Точик</t>
  </si>
  <si>
    <t>Всего: н/ст. выше и из Бахри Точик</t>
  </si>
  <si>
    <r>
      <t xml:space="preserve">Объем Бахри Точик. </t>
    </r>
    <r>
      <rPr>
        <b/>
        <i/>
        <sz val="10"/>
        <rFont val="Arial"/>
        <family val="2"/>
        <charset val="204"/>
      </rPr>
      <t>млн.м3</t>
    </r>
  </si>
  <si>
    <t>н/ст. Бахри Точик до г/п Кызылкишлак</t>
  </si>
  <si>
    <t xml:space="preserve">г/п Кызылкишлак  </t>
  </si>
  <si>
    <t>н/ст. ниже  Бахри Точик</t>
  </si>
  <si>
    <t>ВДК</t>
  </si>
  <si>
    <t>НДК</t>
  </si>
  <si>
    <t>н/ст Мехнат + Зафарабад</t>
  </si>
  <si>
    <t>Канал Бекабад</t>
  </si>
  <si>
    <t>ЮГК</t>
  </si>
  <si>
    <t xml:space="preserve">Канал Дустлик </t>
  </si>
  <si>
    <r>
      <t xml:space="preserve">      в том числе:  </t>
    </r>
    <r>
      <rPr>
        <b/>
        <sz val="10"/>
        <rFont val="Arial"/>
        <family val="2"/>
        <charset val="204"/>
      </rPr>
      <t>Узбекистан</t>
    </r>
  </si>
  <si>
    <r>
      <t xml:space="preserve">                     </t>
    </r>
    <r>
      <rPr>
        <b/>
        <sz val="10"/>
        <rFont val="Arial"/>
        <family val="2"/>
        <charset val="204"/>
      </rPr>
      <t xml:space="preserve">  Казахстан</t>
    </r>
  </si>
  <si>
    <r>
      <t xml:space="preserve">Сброс с </t>
    </r>
    <r>
      <rPr>
        <b/>
        <sz val="10"/>
        <rFont val="Arial"/>
        <family val="2"/>
        <charset val="204"/>
      </rPr>
      <t>Фархадской плотины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</si>
</sst>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&quot;р.&quot;_-;\-* #,##0.00&quot;р.&quot;_-;_-* &quot;-&quot;??&quot;р.&quot;_-;_-@_-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b/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i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1" xfId="1" applyFont="1" applyBorder="1" applyAlignment="1">
      <alignment vertical="center" wrapText="1"/>
    </xf>
    <xf numFmtId="164" fontId="2" fillId="0" borderId="1" xfId="2" applyFont="1" applyBorder="1" applyAlignment="1">
      <alignment horizontal="center" vertical="center"/>
    </xf>
    <xf numFmtId="164" fontId="2" fillId="0" borderId="1" xfId="2" applyFont="1" applyBorder="1" applyAlignment="1">
      <alignment vertical="center"/>
    </xf>
    <xf numFmtId="164" fontId="2" fillId="0" borderId="1" xfId="2" applyFont="1" applyBorder="1" applyAlignment="1">
      <alignment horizontal="center" vertical="center"/>
    </xf>
    <xf numFmtId="0" fontId="3" fillId="0" borderId="1" xfId="0" applyFont="1" applyBorder="1"/>
    <xf numFmtId="0" fontId="4" fillId="0" borderId="1" xfId="1" applyFont="1" applyBorder="1" applyAlignment="1">
      <alignment horizontal="right" vertical="center"/>
    </xf>
    <xf numFmtId="0" fontId="2" fillId="0" borderId="1" xfId="1" applyFont="1" applyBorder="1" applyAlignment="1">
      <alignment horizontal="center" vertical="center" wrapText="1"/>
    </xf>
    <xf numFmtId="2" fontId="5" fillId="2" borderId="1" xfId="1" applyNumberFormat="1" applyFont="1" applyFill="1" applyBorder="1" applyAlignment="1">
      <alignment horizontal="center" vertical="center" wrapText="1"/>
    </xf>
    <xf numFmtId="16" fontId="2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3" fillId="0" borderId="1" xfId="0" applyFont="1" applyBorder="1" applyAlignment="1"/>
    <xf numFmtId="0" fontId="6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2" fontId="2" fillId="0" borderId="1" xfId="1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0" borderId="1" xfId="1" applyFont="1" applyBorder="1" applyAlignment="1">
      <alignment horizontal="left" vertical="center" wrapText="1"/>
    </xf>
    <xf numFmtId="165" fontId="4" fillId="0" borderId="1" xfId="1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6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2" fontId="4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2" fontId="2" fillId="0" borderId="1" xfId="1" applyNumberFormat="1" applyFont="1" applyBorder="1" applyAlignment="1">
      <alignment horizontal="center" vertical="center" wrapText="1"/>
    </xf>
    <xf numFmtId="165" fontId="6" fillId="0" borderId="1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165" fontId="4" fillId="0" borderId="1" xfId="1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4" fillId="0" borderId="1" xfId="1" applyFont="1" applyBorder="1" applyAlignment="1">
      <alignment horizontal="right" vertical="center" wrapText="1"/>
    </xf>
    <xf numFmtId="165" fontId="2" fillId="0" borderId="1" xfId="1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4" fillId="0" borderId="1" xfId="1" applyFont="1" applyBorder="1" applyAlignment="1">
      <alignment vertical="center"/>
    </xf>
    <xf numFmtId="1" fontId="3" fillId="0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2" fontId="6" fillId="0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vertical="center"/>
    </xf>
    <xf numFmtId="0" fontId="4" fillId="3" borderId="1" xfId="1" applyFont="1" applyFill="1" applyBorder="1" applyAlignment="1">
      <alignment horizontal="left" vertical="center" wrapText="1"/>
    </xf>
    <xf numFmtId="0" fontId="2" fillId="3" borderId="1" xfId="1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1" applyFont="1" applyBorder="1" applyAlignment="1">
      <alignment vertical="center" wrapText="1"/>
    </xf>
  </cellXfs>
  <cellStyles count="3">
    <cellStyle name="Денежный 2" xfId="2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8"/>
  <sheetViews>
    <sheetView tabSelected="1" zoomScale="40" zoomScaleNormal="40" workbookViewId="0">
      <selection activeCell="D2" sqref="D2:D3"/>
    </sheetView>
  </sheetViews>
  <sheetFormatPr defaultRowHeight="14.4" x14ac:dyDescent="0.3"/>
  <sheetData>
    <row r="1" spans="1:36" x14ac:dyDescent="0.3">
      <c r="A1" s="1" t="s">
        <v>0</v>
      </c>
      <c r="B1" s="2" t="s">
        <v>1</v>
      </c>
      <c r="C1" s="3" t="s">
        <v>2</v>
      </c>
      <c r="D1" s="4" t="s">
        <v>3</v>
      </c>
      <c r="E1" s="4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</row>
    <row r="2" spans="1:36" x14ac:dyDescent="0.3">
      <c r="A2" s="6"/>
      <c r="B2" s="7"/>
      <c r="C2" s="8"/>
      <c r="D2" s="9">
        <v>44652</v>
      </c>
      <c r="E2" s="9">
        <v>44653</v>
      </c>
      <c r="F2" s="9">
        <v>44654</v>
      </c>
      <c r="G2" s="9">
        <v>44655</v>
      </c>
      <c r="H2" s="9">
        <v>44656</v>
      </c>
      <c r="I2" s="9">
        <v>44657</v>
      </c>
      <c r="J2" s="9">
        <v>44658</v>
      </c>
      <c r="K2" s="9">
        <v>44659</v>
      </c>
      <c r="L2" s="9">
        <v>44660</v>
      </c>
      <c r="M2" s="9">
        <v>44661</v>
      </c>
      <c r="N2" s="9" t="s">
        <v>4</v>
      </c>
      <c r="O2" s="9">
        <v>44662</v>
      </c>
      <c r="P2" s="9">
        <v>44663</v>
      </c>
      <c r="Q2" s="9">
        <v>44664</v>
      </c>
      <c r="R2" s="9">
        <v>44665</v>
      </c>
      <c r="S2" s="9">
        <v>44666</v>
      </c>
      <c r="T2" s="9">
        <v>44667</v>
      </c>
      <c r="U2" s="9">
        <v>44668</v>
      </c>
      <c r="V2" s="9">
        <v>44669</v>
      </c>
      <c r="W2" s="9">
        <v>44670</v>
      </c>
      <c r="X2" s="9">
        <v>44671</v>
      </c>
      <c r="Y2" s="9" t="s">
        <v>5</v>
      </c>
      <c r="Z2" s="9">
        <v>44672</v>
      </c>
      <c r="AA2" s="9">
        <v>44673</v>
      </c>
      <c r="AB2" s="9">
        <v>44674</v>
      </c>
      <c r="AC2" s="9">
        <v>44675</v>
      </c>
      <c r="AD2" s="9">
        <v>44676</v>
      </c>
      <c r="AE2" s="9">
        <v>44677</v>
      </c>
      <c r="AF2" s="9">
        <v>44678</v>
      </c>
      <c r="AG2" s="9">
        <v>44679</v>
      </c>
      <c r="AH2" s="9">
        <v>44680</v>
      </c>
      <c r="AI2" s="9">
        <v>44681</v>
      </c>
      <c r="AJ2" s="9" t="s">
        <v>6</v>
      </c>
    </row>
    <row r="3" spans="1:36" x14ac:dyDescent="0.3">
      <c r="A3" s="6"/>
      <c r="B3" s="7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</row>
    <row r="4" spans="1:36" x14ac:dyDescent="0.3">
      <c r="A4" s="1"/>
      <c r="B4" s="10" t="s">
        <v>7</v>
      </c>
      <c r="C4" s="11"/>
      <c r="D4" s="12">
        <v>173</v>
      </c>
      <c r="E4" s="12">
        <v>72</v>
      </c>
      <c r="F4" s="12">
        <v>36</v>
      </c>
      <c r="G4" s="12">
        <v>99</v>
      </c>
      <c r="H4" s="12">
        <v>87</v>
      </c>
      <c r="I4" s="12">
        <v>103</v>
      </c>
      <c r="J4" s="12">
        <v>135</v>
      </c>
      <c r="K4" s="12">
        <v>136</v>
      </c>
      <c r="L4" s="12">
        <v>151</v>
      </c>
      <c r="M4" s="12">
        <v>168</v>
      </c>
      <c r="N4" s="5"/>
      <c r="O4" s="13">
        <v>133</v>
      </c>
      <c r="P4" s="13">
        <v>160</v>
      </c>
      <c r="Q4" s="13">
        <v>164</v>
      </c>
      <c r="R4" s="13">
        <v>194</v>
      </c>
      <c r="S4" s="13">
        <v>163</v>
      </c>
      <c r="T4" s="13">
        <v>175</v>
      </c>
      <c r="U4" s="13">
        <v>175</v>
      </c>
      <c r="V4" s="13">
        <v>125</v>
      </c>
      <c r="W4" s="13">
        <v>143</v>
      </c>
      <c r="X4" s="13">
        <v>136</v>
      </c>
      <c r="Y4" s="13"/>
      <c r="Z4" s="13">
        <v>142</v>
      </c>
      <c r="AA4" s="13"/>
      <c r="AB4" s="13">
        <v>174</v>
      </c>
      <c r="AC4" s="13">
        <v>162</v>
      </c>
      <c r="AD4" s="13">
        <v>199</v>
      </c>
      <c r="AE4" s="13">
        <v>159</v>
      </c>
      <c r="AF4" s="13">
        <v>250</v>
      </c>
      <c r="AG4" s="13">
        <v>145</v>
      </c>
      <c r="AH4" s="13"/>
      <c r="AI4" s="13">
        <v>147</v>
      </c>
      <c r="AJ4" s="13"/>
    </row>
    <row r="5" spans="1:36" x14ac:dyDescent="0.3">
      <c r="A5" s="14">
        <v>1</v>
      </c>
      <c r="B5" s="1" t="s">
        <v>8</v>
      </c>
      <c r="C5" s="15"/>
      <c r="D5" s="12">
        <v>1.2</v>
      </c>
      <c r="E5" s="12">
        <v>1.2</v>
      </c>
      <c r="F5" s="12">
        <v>1.8</v>
      </c>
      <c r="G5" s="12">
        <v>1.8</v>
      </c>
      <c r="H5" s="16">
        <v>1.8</v>
      </c>
      <c r="I5" s="16">
        <v>1.8</v>
      </c>
      <c r="J5" s="16">
        <v>1.8</v>
      </c>
      <c r="K5" s="16">
        <v>1.2</v>
      </c>
      <c r="L5" s="16">
        <v>1.2</v>
      </c>
      <c r="M5" s="16">
        <v>1.8</v>
      </c>
      <c r="N5" s="5"/>
      <c r="O5" s="13">
        <v>1.8</v>
      </c>
      <c r="P5" s="13">
        <v>1.8</v>
      </c>
      <c r="Q5" s="13">
        <v>1.8</v>
      </c>
      <c r="R5" s="13">
        <v>1.8</v>
      </c>
      <c r="S5" s="13">
        <v>1.8</v>
      </c>
      <c r="T5" s="13">
        <v>1.8</v>
      </c>
      <c r="U5" s="13">
        <v>2.4</v>
      </c>
      <c r="V5" s="13">
        <v>2.4</v>
      </c>
      <c r="W5" s="13">
        <v>2.4</v>
      </c>
      <c r="X5" s="13">
        <v>1.8</v>
      </c>
      <c r="Y5" s="13"/>
      <c r="Z5" s="13">
        <v>1.8</v>
      </c>
      <c r="AA5" s="13"/>
      <c r="AB5" s="13">
        <v>2.4</v>
      </c>
      <c r="AC5" s="13">
        <v>2.4</v>
      </c>
      <c r="AD5" s="13">
        <v>1.8</v>
      </c>
      <c r="AE5" s="13">
        <v>1.2</v>
      </c>
      <c r="AF5" s="13">
        <v>1.2</v>
      </c>
      <c r="AG5" s="13">
        <v>1.2</v>
      </c>
      <c r="AH5" s="13"/>
      <c r="AI5" s="13">
        <v>1.2</v>
      </c>
      <c r="AJ5" s="13"/>
    </row>
    <row r="6" spans="1:36" x14ac:dyDescent="0.3">
      <c r="A6" s="17"/>
      <c r="B6" s="6" t="s">
        <v>9</v>
      </c>
      <c r="C6" s="18"/>
      <c r="D6" s="19">
        <v>1.2</v>
      </c>
      <c r="E6" s="19">
        <v>1.2</v>
      </c>
      <c r="F6" s="19">
        <v>1.8</v>
      </c>
      <c r="G6" s="19">
        <v>1.8</v>
      </c>
      <c r="H6" s="19">
        <v>1.8</v>
      </c>
      <c r="I6" s="19">
        <v>1.8</v>
      </c>
      <c r="J6" s="19">
        <v>1.8</v>
      </c>
      <c r="K6" s="20">
        <v>1.2</v>
      </c>
      <c r="L6" s="20">
        <v>1.2</v>
      </c>
      <c r="M6" s="20">
        <v>1.8</v>
      </c>
      <c r="N6" s="5"/>
      <c r="O6" s="13">
        <v>1.8</v>
      </c>
      <c r="P6" s="13">
        <v>1.8</v>
      </c>
      <c r="Q6" s="13">
        <v>1.8</v>
      </c>
      <c r="R6" s="13">
        <v>1.8</v>
      </c>
      <c r="S6" s="13">
        <v>1.8</v>
      </c>
      <c r="T6" s="13">
        <v>2.4</v>
      </c>
      <c r="U6" s="13">
        <v>2.4</v>
      </c>
      <c r="V6" s="13">
        <v>2.4</v>
      </c>
      <c r="W6" s="13">
        <v>2.4</v>
      </c>
      <c r="X6" s="13">
        <v>1.8</v>
      </c>
      <c r="Y6" s="13"/>
      <c r="Z6" s="13">
        <v>1.8</v>
      </c>
      <c r="AA6" s="13"/>
      <c r="AB6" s="13">
        <v>2.4</v>
      </c>
      <c r="AC6" s="13">
        <v>2.4</v>
      </c>
      <c r="AD6" s="13">
        <v>1.8</v>
      </c>
      <c r="AE6" s="13">
        <v>1.2</v>
      </c>
      <c r="AF6" s="13">
        <v>1.2</v>
      </c>
      <c r="AG6" s="13">
        <v>1.2</v>
      </c>
      <c r="AH6" s="13"/>
      <c r="AI6" s="13">
        <v>1.2</v>
      </c>
      <c r="AJ6" s="13"/>
    </row>
    <row r="7" spans="1:36" x14ac:dyDescent="0.3">
      <c r="A7" s="14"/>
      <c r="B7" s="6" t="s">
        <v>10</v>
      </c>
      <c r="C7" s="18"/>
      <c r="D7" s="19">
        <v>0</v>
      </c>
      <c r="E7" s="19">
        <v>0</v>
      </c>
      <c r="F7" s="19">
        <v>0</v>
      </c>
      <c r="G7" s="19">
        <v>0</v>
      </c>
      <c r="H7" s="19">
        <v>0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5"/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/>
      <c r="Z7" s="13">
        <v>0</v>
      </c>
      <c r="AA7" s="13"/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/>
      <c r="AI7" s="13">
        <v>0</v>
      </c>
      <c r="AJ7" s="13"/>
    </row>
    <row r="8" spans="1:36" x14ac:dyDescent="0.3">
      <c r="A8" s="14">
        <v>2</v>
      </c>
      <c r="B8" s="1" t="s">
        <v>11</v>
      </c>
      <c r="C8" s="15"/>
      <c r="D8" s="21">
        <v>17</v>
      </c>
      <c r="E8" s="21">
        <v>17</v>
      </c>
      <c r="F8" s="21">
        <v>17</v>
      </c>
      <c r="G8" s="21">
        <v>17</v>
      </c>
      <c r="H8" s="22">
        <v>17</v>
      </c>
      <c r="I8" s="22">
        <v>17.2</v>
      </c>
      <c r="J8" s="23">
        <v>22.3</v>
      </c>
      <c r="K8" s="22">
        <v>22.81</v>
      </c>
      <c r="L8" s="22">
        <v>22.81</v>
      </c>
      <c r="M8" s="22">
        <v>23.41</v>
      </c>
      <c r="N8" s="5"/>
      <c r="O8" s="13">
        <v>22.3</v>
      </c>
      <c r="P8" s="13">
        <v>22.1</v>
      </c>
      <c r="Q8" s="13">
        <v>22.3</v>
      </c>
      <c r="R8" s="13">
        <v>21.8</v>
      </c>
      <c r="S8" s="13">
        <v>21.4</v>
      </c>
      <c r="T8" s="13">
        <v>21.1</v>
      </c>
      <c r="U8" s="13">
        <v>21.1</v>
      </c>
      <c r="V8" s="13">
        <v>20.09</v>
      </c>
      <c r="W8" s="13">
        <v>20.399999999999999</v>
      </c>
      <c r="X8" s="13">
        <v>20.6</v>
      </c>
      <c r="Y8" s="13"/>
      <c r="Z8" s="13">
        <v>20.2</v>
      </c>
      <c r="AA8" s="13"/>
      <c r="AB8" s="13">
        <v>20.5</v>
      </c>
      <c r="AC8" s="13">
        <v>20.100000000000001</v>
      </c>
      <c r="AD8" s="13">
        <v>20.3</v>
      </c>
      <c r="AE8" s="13">
        <v>18.899999999999999</v>
      </c>
      <c r="AF8" s="13">
        <v>20.399999999999999</v>
      </c>
      <c r="AG8" s="13">
        <v>20</v>
      </c>
      <c r="AH8" s="13"/>
      <c r="AI8" s="13">
        <v>20.6</v>
      </c>
      <c r="AJ8" s="13"/>
    </row>
    <row r="9" spans="1:36" x14ac:dyDescent="0.3">
      <c r="A9" s="17"/>
      <c r="B9" s="6" t="s">
        <v>9</v>
      </c>
      <c r="C9" s="18"/>
      <c r="D9" s="24">
        <v>16.2</v>
      </c>
      <c r="E9" s="24">
        <v>16.2</v>
      </c>
      <c r="F9" s="24">
        <v>16.2</v>
      </c>
      <c r="G9" s="24">
        <v>16.2</v>
      </c>
      <c r="H9" s="24">
        <v>16.2</v>
      </c>
      <c r="I9" s="24">
        <v>16.2</v>
      </c>
      <c r="J9" s="25">
        <v>21.8</v>
      </c>
      <c r="K9" s="25">
        <v>21.8</v>
      </c>
      <c r="L9" s="25">
        <v>21.8</v>
      </c>
      <c r="M9" s="25">
        <v>21.3</v>
      </c>
      <c r="N9" s="5"/>
      <c r="O9" s="13">
        <v>20.2</v>
      </c>
      <c r="P9" s="13">
        <v>19.8</v>
      </c>
      <c r="Q9" s="13">
        <v>19.7</v>
      </c>
      <c r="R9" s="13">
        <v>19.600000000000001</v>
      </c>
      <c r="S9" s="13">
        <v>18.7</v>
      </c>
      <c r="T9" s="13">
        <v>18.600000000000001</v>
      </c>
      <c r="U9" s="13">
        <v>18.600000000000001</v>
      </c>
      <c r="V9" s="13">
        <v>18.2</v>
      </c>
      <c r="W9" s="13">
        <v>17.600000000000001</v>
      </c>
      <c r="X9" s="13">
        <v>17.8</v>
      </c>
      <c r="Y9" s="13"/>
      <c r="Z9" s="13">
        <v>17.399999999999999</v>
      </c>
      <c r="AA9" s="13"/>
      <c r="AB9" s="13">
        <v>17.7</v>
      </c>
      <c r="AC9" s="13">
        <v>17.2</v>
      </c>
      <c r="AD9" s="13">
        <v>17.5</v>
      </c>
      <c r="AE9" s="13">
        <v>16</v>
      </c>
      <c r="AF9" s="13">
        <v>17.600000000000001</v>
      </c>
      <c r="AG9" s="13">
        <v>17.3</v>
      </c>
      <c r="AH9" s="13"/>
      <c r="AI9" s="13">
        <v>17.899999999999999</v>
      </c>
      <c r="AJ9" s="13"/>
    </row>
    <row r="10" spans="1:36" x14ac:dyDescent="0.3">
      <c r="A10" s="14"/>
      <c r="B10" s="6" t="s">
        <v>10</v>
      </c>
      <c r="C10" s="18"/>
      <c r="D10" s="19">
        <v>1</v>
      </c>
      <c r="E10" s="19">
        <v>1</v>
      </c>
      <c r="F10" s="19">
        <v>1</v>
      </c>
      <c r="G10" s="19">
        <v>1</v>
      </c>
      <c r="H10" s="19">
        <v>1</v>
      </c>
      <c r="I10" s="19">
        <v>1</v>
      </c>
      <c r="J10" s="20">
        <v>0.5</v>
      </c>
      <c r="K10" s="20">
        <v>1</v>
      </c>
      <c r="L10" s="20">
        <v>1</v>
      </c>
      <c r="M10" s="20">
        <v>2.1</v>
      </c>
      <c r="N10" s="5"/>
      <c r="O10" s="13">
        <v>2.1</v>
      </c>
      <c r="P10" s="13">
        <v>2.2999999999999998</v>
      </c>
      <c r="Q10" s="13">
        <v>2.6</v>
      </c>
      <c r="R10" s="13">
        <v>2.2000000000000002</v>
      </c>
      <c r="S10" s="13">
        <v>2.7</v>
      </c>
      <c r="T10" s="13">
        <v>2.6</v>
      </c>
      <c r="U10" s="13">
        <v>2.6</v>
      </c>
      <c r="V10" s="13">
        <v>2.7</v>
      </c>
      <c r="W10" s="13">
        <v>2.8</v>
      </c>
      <c r="X10" s="13">
        <v>2.8</v>
      </c>
      <c r="Y10" s="13"/>
      <c r="Z10" s="13">
        <v>2.8</v>
      </c>
      <c r="AA10" s="13"/>
      <c r="AB10" s="13">
        <v>2.8</v>
      </c>
      <c r="AC10" s="13">
        <v>2.9</v>
      </c>
      <c r="AD10" s="13">
        <v>2.9</v>
      </c>
      <c r="AE10" s="13">
        <v>2.9</v>
      </c>
      <c r="AF10" s="13">
        <v>2.8</v>
      </c>
      <c r="AG10" s="13">
        <v>2.7</v>
      </c>
      <c r="AH10" s="13"/>
      <c r="AI10" s="13">
        <v>2.7</v>
      </c>
      <c r="AJ10" s="13"/>
    </row>
    <row r="11" spans="1:36" ht="66" x14ac:dyDescent="0.3">
      <c r="A11" s="17">
        <v>3</v>
      </c>
      <c r="B11" s="26" t="s">
        <v>12</v>
      </c>
      <c r="C11" s="27"/>
      <c r="D11" s="12">
        <v>189</v>
      </c>
      <c r="E11" s="12">
        <v>97</v>
      </c>
      <c r="F11" s="12">
        <v>81</v>
      </c>
      <c r="G11" s="12">
        <v>165</v>
      </c>
      <c r="H11" s="16">
        <v>177</v>
      </c>
      <c r="I11" s="16">
        <v>202</v>
      </c>
      <c r="J11" s="16">
        <v>277</v>
      </c>
      <c r="K11" s="16">
        <v>250</v>
      </c>
      <c r="L11" s="16">
        <v>308</v>
      </c>
      <c r="M11" s="16">
        <v>310</v>
      </c>
      <c r="N11" s="5"/>
      <c r="O11" s="13">
        <v>301</v>
      </c>
      <c r="P11" s="13">
        <v>298</v>
      </c>
      <c r="Q11" s="13">
        <v>309</v>
      </c>
      <c r="R11" s="13">
        <v>352</v>
      </c>
      <c r="S11" s="13">
        <v>283</v>
      </c>
      <c r="T11" s="13">
        <v>284</v>
      </c>
      <c r="U11" s="13">
        <v>284</v>
      </c>
      <c r="V11" s="13">
        <v>308</v>
      </c>
      <c r="W11" s="13">
        <v>242</v>
      </c>
      <c r="X11" s="13">
        <v>298</v>
      </c>
      <c r="Y11" s="13"/>
      <c r="Z11" s="13">
        <v>277</v>
      </c>
      <c r="AA11" s="13"/>
      <c r="AB11" s="13">
        <v>249</v>
      </c>
      <c r="AC11" s="13">
        <v>297</v>
      </c>
      <c r="AD11" s="13">
        <v>305</v>
      </c>
      <c r="AE11" s="13">
        <v>233</v>
      </c>
      <c r="AF11" s="13">
        <v>307</v>
      </c>
      <c r="AG11" s="13">
        <v>280</v>
      </c>
      <c r="AH11" s="13"/>
      <c r="AI11" s="13">
        <v>239</v>
      </c>
      <c r="AJ11" s="13"/>
    </row>
    <row r="12" spans="1:36" ht="26.4" x14ac:dyDescent="0.3">
      <c r="A12" s="28">
        <v>4</v>
      </c>
      <c r="B12" s="1" t="s">
        <v>13</v>
      </c>
      <c r="C12" s="29"/>
      <c r="D12" s="30">
        <v>83.8</v>
      </c>
      <c r="E12" s="30">
        <v>77.8</v>
      </c>
      <c r="F12" s="30">
        <v>53</v>
      </c>
      <c r="G12" s="30">
        <v>53</v>
      </c>
      <c r="H12" s="30">
        <v>69.8</v>
      </c>
      <c r="I12" s="30">
        <v>79</v>
      </c>
      <c r="J12" s="31">
        <v>99.5</v>
      </c>
      <c r="K12" s="30">
        <v>93.25</v>
      </c>
      <c r="L12" s="30">
        <v>104</v>
      </c>
      <c r="M12" s="30">
        <v>99.5</v>
      </c>
      <c r="N12" s="32"/>
      <c r="O12" s="33">
        <v>108.8</v>
      </c>
      <c r="P12" s="33">
        <v>111.1</v>
      </c>
      <c r="Q12" s="33">
        <v>113.6</v>
      </c>
      <c r="R12" s="33">
        <v>102.3</v>
      </c>
      <c r="S12" s="33">
        <v>124</v>
      </c>
      <c r="T12" s="33">
        <v>118.5</v>
      </c>
      <c r="U12" s="33">
        <v>118.5</v>
      </c>
      <c r="V12" s="33">
        <v>120.3</v>
      </c>
      <c r="W12" s="33">
        <v>110.8</v>
      </c>
      <c r="X12" s="33">
        <v>123</v>
      </c>
      <c r="Y12" s="33"/>
      <c r="Z12" s="33">
        <v>104.2</v>
      </c>
      <c r="AA12" s="33"/>
      <c r="AB12" s="33">
        <v>111.3</v>
      </c>
      <c r="AC12" s="33">
        <v>133.30000000000001</v>
      </c>
      <c r="AD12" s="33">
        <v>137.30000000000001</v>
      </c>
      <c r="AE12" s="33">
        <v>113.7</v>
      </c>
      <c r="AF12" s="33">
        <v>131.6</v>
      </c>
      <c r="AG12" s="33">
        <v>134.30000000000001</v>
      </c>
      <c r="AH12" s="33"/>
      <c r="AI12" s="33">
        <v>111.1</v>
      </c>
      <c r="AJ12" s="33"/>
    </row>
    <row r="13" spans="1:36" x14ac:dyDescent="0.3">
      <c r="A13" s="14"/>
      <c r="B13" s="6" t="s">
        <v>14</v>
      </c>
      <c r="C13" s="34"/>
      <c r="D13" s="19">
        <v>80.45</v>
      </c>
      <c r="E13" s="19">
        <v>74.55</v>
      </c>
      <c r="F13" s="19">
        <v>50.28</v>
      </c>
      <c r="G13" s="19">
        <v>51</v>
      </c>
      <c r="H13" s="19">
        <v>68.400000000000006</v>
      </c>
      <c r="I13" s="20">
        <v>77.16</v>
      </c>
      <c r="J13" s="20">
        <v>96.6</v>
      </c>
      <c r="K13" s="19">
        <v>91.15</v>
      </c>
      <c r="L13" s="19">
        <v>101.8</v>
      </c>
      <c r="M13" s="19">
        <v>97.3</v>
      </c>
      <c r="N13" s="5"/>
      <c r="O13" s="13">
        <v>105.7</v>
      </c>
      <c r="P13" s="13">
        <v>108</v>
      </c>
      <c r="Q13" s="13">
        <v>111.3</v>
      </c>
      <c r="R13" s="13">
        <v>99.8</v>
      </c>
      <c r="S13" s="13">
        <v>121.1</v>
      </c>
      <c r="T13" s="13">
        <v>116.3</v>
      </c>
      <c r="U13" s="13">
        <v>116.3</v>
      </c>
      <c r="V13" s="13">
        <v>117.1</v>
      </c>
      <c r="W13" s="13">
        <v>107.9</v>
      </c>
      <c r="X13" s="13">
        <v>122.5</v>
      </c>
      <c r="Y13" s="13"/>
      <c r="Z13" s="13">
        <v>102.2</v>
      </c>
      <c r="AA13" s="13"/>
      <c r="AB13" s="13">
        <v>110</v>
      </c>
      <c r="AC13" s="13">
        <v>133</v>
      </c>
      <c r="AD13" s="13">
        <v>136</v>
      </c>
      <c r="AE13" s="13">
        <v>110.2</v>
      </c>
      <c r="AF13" s="13">
        <v>128</v>
      </c>
      <c r="AG13" s="13">
        <v>129.80000000000001</v>
      </c>
      <c r="AH13" s="13"/>
      <c r="AI13" s="13">
        <v>105</v>
      </c>
      <c r="AJ13" s="13"/>
    </row>
    <row r="14" spans="1:36" x14ac:dyDescent="0.3">
      <c r="A14" s="17"/>
      <c r="B14" s="6" t="s">
        <v>15</v>
      </c>
      <c r="C14" s="34"/>
      <c r="D14" s="19">
        <v>3.2</v>
      </c>
      <c r="E14" s="19">
        <v>3.1</v>
      </c>
      <c r="F14" s="19">
        <v>2.62</v>
      </c>
      <c r="G14" s="19">
        <v>1.9</v>
      </c>
      <c r="H14" s="20">
        <v>1.25</v>
      </c>
      <c r="I14" s="20">
        <v>1.74</v>
      </c>
      <c r="J14" s="35">
        <v>2.8</v>
      </c>
      <c r="K14" s="20">
        <v>2</v>
      </c>
      <c r="L14" s="20">
        <v>2.1</v>
      </c>
      <c r="M14" s="20">
        <v>2.1</v>
      </c>
      <c r="N14" s="5"/>
      <c r="O14" s="13">
        <v>3</v>
      </c>
      <c r="P14" s="13">
        <v>3</v>
      </c>
      <c r="Q14" s="13">
        <v>2.1</v>
      </c>
      <c r="R14" s="13">
        <v>2.2999999999999998</v>
      </c>
      <c r="S14" s="13">
        <v>2.7</v>
      </c>
      <c r="T14" s="13">
        <v>2</v>
      </c>
      <c r="U14" s="13">
        <v>2</v>
      </c>
      <c r="V14" s="13">
        <v>3</v>
      </c>
      <c r="W14" s="13">
        <v>2.64</v>
      </c>
      <c r="X14" s="13">
        <v>0</v>
      </c>
      <c r="Y14" s="13"/>
      <c r="Z14" s="13">
        <v>1.53</v>
      </c>
      <c r="AA14" s="13"/>
      <c r="AB14" s="13">
        <v>0.61</v>
      </c>
      <c r="AC14" s="13">
        <v>0</v>
      </c>
      <c r="AD14" s="13">
        <v>0.77</v>
      </c>
      <c r="AE14" s="13">
        <v>3.05</v>
      </c>
      <c r="AF14" s="13">
        <v>3.05</v>
      </c>
      <c r="AG14" s="13">
        <v>4</v>
      </c>
      <c r="AH14" s="13"/>
      <c r="AI14" s="13">
        <v>5.0999999999999996</v>
      </c>
      <c r="AJ14" s="13"/>
    </row>
    <row r="15" spans="1:36" ht="26.4" x14ac:dyDescent="0.3">
      <c r="A15" s="14"/>
      <c r="B15" s="36" t="s">
        <v>16</v>
      </c>
      <c r="C15" s="34"/>
      <c r="D15" s="19">
        <v>0.1</v>
      </c>
      <c r="E15" s="19">
        <v>0.1</v>
      </c>
      <c r="F15" s="19">
        <v>0.1</v>
      </c>
      <c r="G15" s="19">
        <v>0.1</v>
      </c>
      <c r="H15" s="19">
        <v>0.1</v>
      </c>
      <c r="I15" s="20">
        <v>0.1</v>
      </c>
      <c r="J15" s="35">
        <v>0.1</v>
      </c>
      <c r="K15" s="20">
        <v>0.1</v>
      </c>
      <c r="L15" s="20">
        <v>0.1</v>
      </c>
      <c r="M15" s="20">
        <v>0.1</v>
      </c>
      <c r="N15" s="5"/>
      <c r="O15" s="13">
        <v>0.1</v>
      </c>
      <c r="P15" s="13">
        <v>0.13</v>
      </c>
      <c r="Q15" s="13">
        <v>0.2</v>
      </c>
      <c r="R15" s="13">
        <v>0.2</v>
      </c>
      <c r="S15" s="13">
        <v>0.2</v>
      </c>
      <c r="T15" s="13">
        <v>0.2</v>
      </c>
      <c r="U15" s="13">
        <v>0.2</v>
      </c>
      <c r="V15" s="13">
        <v>0.2</v>
      </c>
      <c r="W15" s="13">
        <v>0.2</v>
      </c>
      <c r="X15" s="13">
        <v>0.5</v>
      </c>
      <c r="Y15" s="13"/>
      <c r="Z15" s="13">
        <v>0.5</v>
      </c>
      <c r="AA15" s="13"/>
      <c r="AB15" s="13">
        <v>0.5</v>
      </c>
      <c r="AC15" s="13">
        <v>0.5</v>
      </c>
      <c r="AD15" s="13">
        <v>0.5</v>
      </c>
      <c r="AE15" s="13">
        <v>0.5</v>
      </c>
      <c r="AF15" s="13">
        <v>0.5</v>
      </c>
      <c r="AG15" s="13">
        <v>0.5</v>
      </c>
      <c r="AH15" s="13"/>
      <c r="AI15" s="13">
        <v>0.5</v>
      </c>
      <c r="AJ15" s="13"/>
    </row>
    <row r="16" spans="1:36" x14ac:dyDescent="0.3">
      <c r="A16" s="26">
        <v>5</v>
      </c>
      <c r="B16" s="1" t="s">
        <v>17</v>
      </c>
      <c r="C16" s="37"/>
      <c r="D16" s="12">
        <v>20</v>
      </c>
      <c r="E16" s="12">
        <v>20.5</v>
      </c>
      <c r="F16" s="12">
        <v>16</v>
      </c>
      <c r="G16" s="12">
        <v>16</v>
      </c>
      <c r="H16" s="16">
        <v>27.5</v>
      </c>
      <c r="I16" s="16">
        <v>22.5</v>
      </c>
      <c r="J16" s="38">
        <v>26.2</v>
      </c>
      <c r="K16" s="38">
        <v>26.25</v>
      </c>
      <c r="L16" s="38">
        <v>38.75</v>
      </c>
      <c r="M16" s="38">
        <v>33.700000000000003</v>
      </c>
      <c r="N16" s="32"/>
      <c r="O16" s="33">
        <v>38.799999999999997</v>
      </c>
      <c r="P16" s="33">
        <v>40</v>
      </c>
      <c r="Q16" s="33">
        <v>40</v>
      </c>
      <c r="R16" s="33">
        <v>35.700000000000003</v>
      </c>
      <c r="S16" s="33">
        <v>40</v>
      </c>
      <c r="T16" s="33">
        <v>35</v>
      </c>
      <c r="U16" s="33">
        <v>35</v>
      </c>
      <c r="V16" s="33">
        <v>37.5</v>
      </c>
      <c r="W16" s="33">
        <v>33.799999999999997</v>
      </c>
      <c r="X16" s="33">
        <v>40</v>
      </c>
      <c r="Y16" s="33"/>
      <c r="Z16" s="33">
        <v>37.299999999999997</v>
      </c>
      <c r="AA16" s="33"/>
      <c r="AB16" s="33">
        <v>35</v>
      </c>
      <c r="AC16" s="33">
        <v>40</v>
      </c>
      <c r="AD16" s="33">
        <v>39.299999999999997</v>
      </c>
      <c r="AE16" s="33">
        <v>31.5</v>
      </c>
      <c r="AF16" s="33">
        <v>40</v>
      </c>
      <c r="AG16" s="33">
        <v>40</v>
      </c>
      <c r="AH16" s="33"/>
      <c r="AI16" s="33">
        <v>37.5</v>
      </c>
      <c r="AJ16" s="33"/>
    </row>
    <row r="17" spans="1:36" x14ac:dyDescent="0.3">
      <c r="A17" s="14"/>
      <c r="B17" s="6" t="s">
        <v>18</v>
      </c>
      <c r="C17" s="34"/>
      <c r="D17" s="19">
        <v>19.45</v>
      </c>
      <c r="E17" s="19">
        <v>20.05</v>
      </c>
      <c r="F17" s="19">
        <v>15.55</v>
      </c>
      <c r="G17" s="19">
        <v>15.45</v>
      </c>
      <c r="H17" s="20">
        <v>26.7</v>
      </c>
      <c r="I17" s="20">
        <v>22.1</v>
      </c>
      <c r="J17" s="35">
        <v>25.8</v>
      </c>
      <c r="K17" s="35">
        <v>25.8</v>
      </c>
      <c r="L17" s="20">
        <v>38.35</v>
      </c>
      <c r="M17" s="20">
        <v>33.299999999999997</v>
      </c>
      <c r="N17" s="5"/>
      <c r="O17" s="13">
        <v>38.15</v>
      </c>
      <c r="P17" s="13">
        <v>39.4</v>
      </c>
      <c r="Q17" s="13">
        <v>39.270000000000003</v>
      </c>
      <c r="R17" s="13">
        <v>35.049999999999997</v>
      </c>
      <c r="S17" s="13">
        <v>39.299999999999997</v>
      </c>
      <c r="T17" s="13">
        <v>34.42</v>
      </c>
      <c r="U17" s="13">
        <v>34.42</v>
      </c>
      <c r="V17" s="13">
        <v>36.9</v>
      </c>
      <c r="W17" s="13">
        <v>33.15</v>
      </c>
      <c r="X17" s="13">
        <v>39.450000000000003</v>
      </c>
      <c r="Y17" s="13"/>
      <c r="Z17" s="13">
        <v>36.700000000000003</v>
      </c>
      <c r="AA17" s="13"/>
      <c r="AB17" s="13">
        <v>34.5</v>
      </c>
      <c r="AC17" s="13">
        <v>39.4</v>
      </c>
      <c r="AD17" s="13">
        <v>38.700000000000003</v>
      </c>
      <c r="AE17" s="13">
        <v>30.84</v>
      </c>
      <c r="AF17" s="13">
        <v>39.35</v>
      </c>
      <c r="AG17" s="13">
        <v>39.200000000000003</v>
      </c>
      <c r="AH17" s="13"/>
      <c r="AI17" s="13">
        <v>36.6</v>
      </c>
      <c r="AJ17" s="13"/>
    </row>
    <row r="18" spans="1:36" ht="26.4" x14ac:dyDescent="0.3">
      <c r="A18" s="14"/>
      <c r="B18" s="36" t="s">
        <v>19</v>
      </c>
      <c r="C18" s="34"/>
      <c r="D18" s="19">
        <v>0.55000000000000004</v>
      </c>
      <c r="E18" s="19">
        <v>0.45</v>
      </c>
      <c r="F18" s="19">
        <v>0.45</v>
      </c>
      <c r="G18" s="19">
        <v>0.55000000000000004</v>
      </c>
      <c r="H18" s="20">
        <v>0.8</v>
      </c>
      <c r="I18" s="20">
        <v>0.4</v>
      </c>
      <c r="J18" s="35">
        <v>0.4</v>
      </c>
      <c r="K18" s="20">
        <v>0.4</v>
      </c>
      <c r="L18" s="20">
        <v>0.4</v>
      </c>
      <c r="M18" s="20">
        <v>0.4</v>
      </c>
      <c r="N18" s="5"/>
      <c r="O18" s="13">
        <v>0.6</v>
      </c>
      <c r="P18" s="13">
        <v>0.6</v>
      </c>
      <c r="Q18" s="13">
        <v>0.73</v>
      </c>
      <c r="R18" s="13">
        <v>0.65</v>
      </c>
      <c r="S18" s="13">
        <v>0.7</v>
      </c>
      <c r="T18" s="13">
        <v>0.57999999999999996</v>
      </c>
      <c r="U18" s="13">
        <v>0.57999999999999996</v>
      </c>
      <c r="V18" s="13">
        <v>0.6</v>
      </c>
      <c r="W18" s="13">
        <v>0.6</v>
      </c>
      <c r="X18" s="13">
        <v>0.55000000000000004</v>
      </c>
      <c r="Y18" s="13"/>
      <c r="Z18" s="13">
        <v>0.55000000000000004</v>
      </c>
      <c r="AA18" s="13"/>
      <c r="AB18" s="13">
        <v>0.55000000000000004</v>
      </c>
      <c r="AC18" s="13">
        <v>0.65</v>
      </c>
      <c r="AD18" s="13">
        <v>0.6</v>
      </c>
      <c r="AE18" s="13">
        <v>0.66</v>
      </c>
      <c r="AF18" s="13">
        <v>0.65</v>
      </c>
      <c r="AG18" s="13">
        <v>0.8</v>
      </c>
      <c r="AH18" s="13"/>
      <c r="AI18" s="13" t="s">
        <v>20</v>
      </c>
      <c r="AJ18" s="13"/>
    </row>
    <row r="19" spans="1:36" ht="39.6" x14ac:dyDescent="0.3">
      <c r="A19" s="26">
        <v>6</v>
      </c>
      <c r="B19" s="1" t="s">
        <v>21</v>
      </c>
      <c r="C19" s="12"/>
      <c r="D19" s="12">
        <v>12</v>
      </c>
      <c r="E19" s="12">
        <v>12</v>
      </c>
      <c r="F19" s="12">
        <v>12</v>
      </c>
      <c r="G19" s="12">
        <v>12</v>
      </c>
      <c r="H19" s="12">
        <v>12</v>
      </c>
      <c r="I19" s="16">
        <v>12</v>
      </c>
      <c r="J19" s="38">
        <v>12</v>
      </c>
      <c r="K19" s="38">
        <v>12</v>
      </c>
      <c r="L19" s="38">
        <v>12</v>
      </c>
      <c r="M19" s="38">
        <v>12</v>
      </c>
      <c r="N19" s="32"/>
      <c r="O19" s="33">
        <v>12</v>
      </c>
      <c r="P19" s="33">
        <v>15</v>
      </c>
      <c r="Q19" s="33">
        <v>18</v>
      </c>
      <c r="R19" s="33">
        <v>18</v>
      </c>
      <c r="S19" s="33">
        <v>18</v>
      </c>
      <c r="T19" s="33">
        <v>18</v>
      </c>
      <c r="U19" s="33">
        <v>18</v>
      </c>
      <c r="V19" s="33">
        <v>18</v>
      </c>
      <c r="W19" s="33">
        <v>18</v>
      </c>
      <c r="X19" s="33">
        <v>18</v>
      </c>
      <c r="Y19" s="33"/>
      <c r="Z19" s="33">
        <v>18</v>
      </c>
      <c r="AA19" s="33"/>
      <c r="AB19" s="33">
        <v>18</v>
      </c>
      <c r="AC19" s="33">
        <v>18</v>
      </c>
      <c r="AD19" s="33">
        <v>18</v>
      </c>
      <c r="AE19" s="33">
        <v>18</v>
      </c>
      <c r="AF19" s="33">
        <v>18</v>
      </c>
      <c r="AG19" s="33">
        <v>18</v>
      </c>
      <c r="AH19" s="33"/>
      <c r="AI19" s="33">
        <v>18</v>
      </c>
      <c r="AJ19" s="33"/>
    </row>
    <row r="20" spans="1:36" x14ac:dyDescent="0.3">
      <c r="A20" s="14">
        <v>7</v>
      </c>
      <c r="B20" s="39" t="s">
        <v>22</v>
      </c>
      <c r="C20" s="19"/>
      <c r="D20" s="19">
        <v>105</v>
      </c>
      <c r="E20" s="19">
        <v>378</v>
      </c>
      <c r="F20" s="19">
        <v>127</v>
      </c>
      <c r="G20" s="19">
        <v>125</v>
      </c>
      <c r="H20" s="20">
        <v>131</v>
      </c>
      <c r="I20" s="20">
        <v>136</v>
      </c>
      <c r="J20" s="20">
        <v>146</v>
      </c>
      <c r="K20" s="20">
        <v>159</v>
      </c>
      <c r="L20" s="20">
        <v>177</v>
      </c>
      <c r="M20" s="20">
        <v>181</v>
      </c>
      <c r="N20" s="19"/>
      <c r="O20" s="13">
        <v>161</v>
      </c>
      <c r="P20" s="13">
        <v>157</v>
      </c>
      <c r="Q20" s="13">
        <v>165</v>
      </c>
      <c r="R20" s="13">
        <v>157</v>
      </c>
      <c r="S20" s="13">
        <v>93.6</v>
      </c>
      <c r="T20" s="13">
        <v>82.5</v>
      </c>
      <c r="U20" s="13">
        <v>82.5</v>
      </c>
      <c r="V20" s="13">
        <v>78</v>
      </c>
      <c r="W20" s="13">
        <v>73.5</v>
      </c>
      <c r="X20" s="13">
        <v>73.5</v>
      </c>
      <c r="Y20" s="13"/>
      <c r="Z20" s="13">
        <v>88.8</v>
      </c>
      <c r="AA20" s="13"/>
      <c r="AB20" s="13">
        <v>76.5</v>
      </c>
      <c r="AC20" s="13">
        <v>76.5</v>
      </c>
      <c r="AD20" s="13">
        <v>105</v>
      </c>
      <c r="AE20" s="13">
        <v>142</v>
      </c>
      <c r="AF20" s="13">
        <v>104</v>
      </c>
      <c r="AG20" s="13">
        <v>131</v>
      </c>
      <c r="AH20" s="13"/>
      <c r="AI20" s="13">
        <v>84</v>
      </c>
      <c r="AJ20" s="13"/>
    </row>
    <row r="21" spans="1:36" x14ac:dyDescent="0.3">
      <c r="A21" s="17">
        <v>8</v>
      </c>
      <c r="B21" s="28" t="s">
        <v>23</v>
      </c>
      <c r="C21" s="19"/>
      <c r="D21" s="19">
        <v>342</v>
      </c>
      <c r="E21" s="19">
        <v>306</v>
      </c>
      <c r="F21" s="19">
        <v>268</v>
      </c>
      <c r="G21" s="19">
        <v>248</v>
      </c>
      <c r="H21" s="20">
        <v>295</v>
      </c>
      <c r="I21" s="20">
        <v>268</v>
      </c>
      <c r="J21" s="20">
        <v>278</v>
      </c>
      <c r="K21" s="20">
        <v>335</v>
      </c>
      <c r="L21" s="20">
        <v>321</v>
      </c>
      <c r="M21" s="20">
        <v>336</v>
      </c>
      <c r="N21" s="19"/>
      <c r="O21" s="13">
        <v>318</v>
      </c>
      <c r="P21" s="13">
        <v>297</v>
      </c>
      <c r="Q21" s="13">
        <v>303</v>
      </c>
      <c r="R21" s="13">
        <v>289</v>
      </c>
      <c r="S21" s="13">
        <v>283</v>
      </c>
      <c r="T21" s="13">
        <v>224</v>
      </c>
      <c r="U21" s="13">
        <v>224</v>
      </c>
      <c r="V21" s="13">
        <v>214</v>
      </c>
      <c r="W21" s="13">
        <v>221</v>
      </c>
      <c r="X21" s="13">
        <v>201</v>
      </c>
      <c r="Y21" s="13"/>
      <c r="Z21" s="13">
        <v>219</v>
      </c>
      <c r="AA21" s="13"/>
      <c r="AB21" s="13">
        <v>208</v>
      </c>
      <c r="AC21" s="13">
        <v>203</v>
      </c>
      <c r="AD21" s="13">
        <v>228</v>
      </c>
      <c r="AE21" s="13">
        <v>289</v>
      </c>
      <c r="AF21" s="13">
        <v>255</v>
      </c>
      <c r="AG21" s="13">
        <v>292</v>
      </c>
      <c r="AH21" s="13"/>
      <c r="AI21" s="13">
        <v>205</v>
      </c>
      <c r="AJ21" s="13"/>
    </row>
    <row r="22" spans="1:36" ht="26.4" x14ac:dyDescent="0.3">
      <c r="A22" s="28">
        <v>9</v>
      </c>
      <c r="B22" s="26" t="s">
        <v>24</v>
      </c>
      <c r="C22" s="12"/>
      <c r="D22" s="12">
        <v>536</v>
      </c>
      <c r="E22" s="12">
        <v>466</v>
      </c>
      <c r="F22" s="12">
        <v>419</v>
      </c>
      <c r="G22" s="12">
        <v>383</v>
      </c>
      <c r="H22" s="16">
        <v>389</v>
      </c>
      <c r="I22" s="16">
        <v>405</v>
      </c>
      <c r="J22" s="16">
        <v>386</v>
      </c>
      <c r="K22" s="16">
        <v>410</v>
      </c>
      <c r="L22" s="16">
        <v>416</v>
      </c>
      <c r="M22" s="16">
        <v>422</v>
      </c>
      <c r="N22" s="16"/>
      <c r="O22" s="33">
        <v>410</v>
      </c>
      <c r="P22" s="33">
        <v>405</v>
      </c>
      <c r="Q22" s="33">
        <v>386</v>
      </c>
      <c r="R22" s="33">
        <v>386</v>
      </c>
      <c r="S22" s="33">
        <v>399</v>
      </c>
      <c r="T22" s="33">
        <v>353</v>
      </c>
      <c r="U22" s="33">
        <v>353</v>
      </c>
      <c r="V22" s="33">
        <v>315</v>
      </c>
      <c r="W22" s="33">
        <v>312</v>
      </c>
      <c r="X22" s="33">
        <v>308</v>
      </c>
      <c r="Y22" s="33"/>
      <c r="Z22" s="33">
        <v>308</v>
      </c>
      <c r="AA22" s="33"/>
      <c r="AB22" s="33">
        <v>303</v>
      </c>
      <c r="AC22" s="33">
        <v>303</v>
      </c>
      <c r="AD22" s="33">
        <v>319</v>
      </c>
      <c r="AE22" s="33">
        <v>360</v>
      </c>
      <c r="AF22" s="33">
        <v>370</v>
      </c>
      <c r="AG22" s="33">
        <v>365</v>
      </c>
      <c r="AH22" s="33"/>
      <c r="AI22" s="33">
        <v>326</v>
      </c>
      <c r="AJ22" s="33"/>
    </row>
    <row r="23" spans="1:36" ht="52.8" x14ac:dyDescent="0.3">
      <c r="A23" s="14">
        <v>10</v>
      </c>
      <c r="B23" s="17" t="s">
        <v>25</v>
      </c>
      <c r="C23" s="19"/>
      <c r="D23" s="40">
        <v>0</v>
      </c>
      <c r="E23" s="40">
        <v>0</v>
      </c>
      <c r="F23" s="40">
        <v>0</v>
      </c>
      <c r="G23" s="40">
        <v>0</v>
      </c>
      <c r="H23" s="20">
        <v>0</v>
      </c>
      <c r="I23" s="41">
        <v>0</v>
      </c>
      <c r="J23" s="41">
        <v>0</v>
      </c>
      <c r="K23" s="41">
        <v>0</v>
      </c>
      <c r="L23" s="41">
        <v>0</v>
      </c>
      <c r="M23" s="41">
        <v>0</v>
      </c>
      <c r="N23" s="41"/>
      <c r="O23" s="13">
        <v>3</v>
      </c>
      <c r="P23" s="13">
        <v>3</v>
      </c>
      <c r="Q23" s="13">
        <v>3</v>
      </c>
      <c r="R23" s="13">
        <v>3</v>
      </c>
      <c r="S23" s="13">
        <v>11</v>
      </c>
      <c r="T23" s="13">
        <v>12</v>
      </c>
      <c r="U23" s="13">
        <v>12</v>
      </c>
      <c r="V23" s="13">
        <v>12</v>
      </c>
      <c r="W23" s="13">
        <v>12</v>
      </c>
      <c r="X23" s="13">
        <v>15</v>
      </c>
      <c r="Y23" s="13"/>
      <c r="Z23" s="13">
        <v>16</v>
      </c>
      <c r="AA23" s="13"/>
      <c r="AB23" s="13">
        <v>17</v>
      </c>
      <c r="AC23" s="13">
        <v>17</v>
      </c>
      <c r="AD23" s="13">
        <v>17</v>
      </c>
      <c r="AE23" s="13">
        <v>17</v>
      </c>
      <c r="AF23" s="13">
        <v>17</v>
      </c>
      <c r="AG23" s="13">
        <v>17</v>
      </c>
      <c r="AH23" s="13"/>
      <c r="AI23" s="13">
        <v>17</v>
      </c>
      <c r="AJ23" s="13"/>
    </row>
    <row r="24" spans="1:36" ht="39.6" x14ac:dyDescent="0.3">
      <c r="A24" s="17">
        <v>11</v>
      </c>
      <c r="B24" s="17" t="s">
        <v>26</v>
      </c>
      <c r="C24" s="42"/>
      <c r="D24" s="40">
        <v>0</v>
      </c>
      <c r="E24" s="40">
        <v>0</v>
      </c>
      <c r="F24" s="40">
        <v>0</v>
      </c>
      <c r="G24" s="40">
        <v>0</v>
      </c>
      <c r="H24" s="20">
        <v>0</v>
      </c>
      <c r="I24" s="43">
        <v>1.8</v>
      </c>
      <c r="J24" s="41">
        <v>10.4</v>
      </c>
      <c r="K24" s="43">
        <v>5.4</v>
      </c>
      <c r="L24" s="43">
        <v>16.399999999999999</v>
      </c>
      <c r="M24" s="43">
        <v>21.5</v>
      </c>
      <c r="N24" s="41"/>
      <c r="O24" s="13">
        <v>25.1</v>
      </c>
      <c r="P24" s="13">
        <v>27.7</v>
      </c>
      <c r="Q24" s="13">
        <v>21.5</v>
      </c>
      <c r="R24" s="13">
        <v>23.2</v>
      </c>
      <c r="S24" s="13">
        <v>22.8</v>
      </c>
      <c r="T24" s="13">
        <v>24.6</v>
      </c>
      <c r="U24" s="13">
        <v>24.6</v>
      </c>
      <c r="V24" s="13">
        <v>19.7</v>
      </c>
      <c r="W24" s="13">
        <v>29.3</v>
      </c>
      <c r="X24" s="13">
        <v>32.799999999999997</v>
      </c>
      <c r="Y24" s="13"/>
      <c r="Z24" s="13">
        <v>31</v>
      </c>
      <c r="AA24" s="13"/>
      <c r="AB24" s="13">
        <v>34.6</v>
      </c>
      <c r="AC24" s="13">
        <v>34.700000000000003</v>
      </c>
      <c r="AD24" s="13">
        <v>31.1</v>
      </c>
      <c r="AE24" s="13">
        <v>30.3</v>
      </c>
      <c r="AF24" s="13">
        <v>30.9</v>
      </c>
      <c r="AG24" s="13">
        <v>24.7</v>
      </c>
      <c r="AH24" s="13"/>
      <c r="AI24" s="13">
        <v>27.8</v>
      </c>
      <c r="AJ24" s="13"/>
    </row>
    <row r="25" spans="1:36" ht="79.2" x14ac:dyDescent="0.3">
      <c r="A25" s="14"/>
      <c r="B25" s="26" t="s">
        <v>27</v>
      </c>
      <c r="C25" s="44"/>
      <c r="D25" s="30">
        <v>0</v>
      </c>
      <c r="E25" s="30">
        <v>0</v>
      </c>
      <c r="F25" s="30">
        <v>0</v>
      </c>
      <c r="G25" s="30">
        <v>0</v>
      </c>
      <c r="H25" s="30">
        <v>0</v>
      </c>
      <c r="I25" s="31">
        <v>1.8</v>
      </c>
      <c r="J25" s="31">
        <v>10.4</v>
      </c>
      <c r="K25" s="23">
        <v>5.4</v>
      </c>
      <c r="L25" s="23">
        <v>16.399999999999999</v>
      </c>
      <c r="M25" s="23">
        <v>21.5</v>
      </c>
      <c r="N25" s="31"/>
      <c r="O25" s="13">
        <v>28.1</v>
      </c>
      <c r="P25" s="13">
        <v>30.7</v>
      </c>
      <c r="Q25" s="13">
        <v>24.5</v>
      </c>
      <c r="R25" s="13">
        <v>26.2</v>
      </c>
      <c r="S25" s="13">
        <v>33.6</v>
      </c>
      <c r="T25" s="13">
        <v>36.1</v>
      </c>
      <c r="U25" s="13">
        <v>36.1</v>
      </c>
      <c r="V25" s="13">
        <v>31.2</v>
      </c>
      <c r="W25" s="13">
        <v>41.3</v>
      </c>
      <c r="X25" s="13">
        <v>47.8</v>
      </c>
      <c r="Y25" s="13"/>
      <c r="Z25" s="13">
        <v>46.8</v>
      </c>
      <c r="AA25" s="13"/>
      <c r="AB25" s="13">
        <v>51.4</v>
      </c>
      <c r="AC25" s="13">
        <v>51.7</v>
      </c>
      <c r="AD25" s="13">
        <v>48.1</v>
      </c>
      <c r="AE25" s="13">
        <v>47.1</v>
      </c>
      <c r="AF25" s="13">
        <v>47.9</v>
      </c>
      <c r="AG25" s="13">
        <v>41.7</v>
      </c>
      <c r="AH25" s="13"/>
      <c r="AI25" s="13">
        <v>44.6</v>
      </c>
      <c r="AJ25" s="13"/>
    </row>
    <row r="26" spans="1:36" ht="52.8" x14ac:dyDescent="0.3">
      <c r="A26" s="26"/>
      <c r="B26" s="26" t="s">
        <v>28</v>
      </c>
      <c r="C26" s="30"/>
      <c r="D26" s="30">
        <v>3320</v>
      </c>
      <c r="E26" s="30">
        <v>3281</v>
      </c>
      <c r="F26" s="30">
        <v>3301</v>
      </c>
      <c r="G26" s="30">
        <v>3301</v>
      </c>
      <c r="H26" s="30">
        <v>3315</v>
      </c>
      <c r="I26" s="31">
        <v>3355</v>
      </c>
      <c r="J26" s="31">
        <v>3384</v>
      </c>
      <c r="K26" s="30">
        <v>3394</v>
      </c>
      <c r="L26" s="30">
        <v>3423</v>
      </c>
      <c r="M26" s="30">
        <v>3448</v>
      </c>
      <c r="N26" s="31"/>
      <c r="O26" s="33">
        <v>3482</v>
      </c>
      <c r="P26" s="33">
        <v>3477</v>
      </c>
      <c r="Q26" s="33">
        <v>3507</v>
      </c>
      <c r="R26" s="33">
        <v>3512</v>
      </c>
      <c r="S26" s="33">
        <v>3531</v>
      </c>
      <c r="T26" s="33">
        <v>3541</v>
      </c>
      <c r="U26" s="33">
        <v>3541</v>
      </c>
      <c r="V26" s="33">
        <v>3546</v>
      </c>
      <c r="W26" s="33">
        <v>3526</v>
      </c>
      <c r="X26" s="33">
        <v>3502</v>
      </c>
      <c r="Y26" s="33"/>
      <c r="Z26" s="33">
        <v>3497</v>
      </c>
      <c r="AA26" s="33"/>
      <c r="AB26" s="33">
        <v>3516</v>
      </c>
      <c r="AC26" s="33">
        <v>3487</v>
      </c>
      <c r="AD26" s="33">
        <v>3487</v>
      </c>
      <c r="AE26" s="33">
        <v>3492</v>
      </c>
      <c r="AF26" s="33">
        <v>3492</v>
      </c>
      <c r="AG26" s="33">
        <v>3531</v>
      </c>
      <c r="AH26" s="33"/>
      <c r="AI26" s="33">
        <v>3502</v>
      </c>
      <c r="AJ26" s="33"/>
    </row>
    <row r="27" spans="1:36" x14ac:dyDescent="0.3">
      <c r="A27" s="14"/>
      <c r="B27" s="28" t="s">
        <v>29</v>
      </c>
      <c r="C27" s="19"/>
      <c r="D27" s="19">
        <v>0</v>
      </c>
      <c r="E27" s="19">
        <v>0</v>
      </c>
      <c r="F27" s="19">
        <v>0</v>
      </c>
      <c r="G27" s="19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0.3</v>
      </c>
      <c r="N27" s="20"/>
      <c r="O27" s="13">
        <v>0.3</v>
      </c>
      <c r="P27" s="13">
        <v>0.3</v>
      </c>
      <c r="Q27" s="13">
        <v>1.4</v>
      </c>
      <c r="R27" s="13">
        <v>0.3</v>
      </c>
      <c r="S27" s="13">
        <v>1.4</v>
      </c>
      <c r="T27" s="13">
        <v>1.4</v>
      </c>
      <c r="U27" s="13">
        <v>1.4</v>
      </c>
      <c r="V27" s="13">
        <v>1.4</v>
      </c>
      <c r="W27" s="13">
        <v>1.6</v>
      </c>
      <c r="X27" s="13">
        <v>2.7</v>
      </c>
      <c r="Y27" s="13"/>
      <c r="Z27" s="13">
        <v>0.5</v>
      </c>
      <c r="AA27" s="13"/>
      <c r="AB27" s="13">
        <v>2.5</v>
      </c>
      <c r="AC27" s="13">
        <v>2.7</v>
      </c>
      <c r="AD27" s="13">
        <v>2.7</v>
      </c>
      <c r="AE27" s="13">
        <v>2.7</v>
      </c>
      <c r="AF27" s="13">
        <v>2.7</v>
      </c>
      <c r="AG27" s="13">
        <v>2.5</v>
      </c>
      <c r="AH27" s="13"/>
      <c r="AI27" s="13">
        <v>1.4</v>
      </c>
      <c r="AJ27" s="13"/>
    </row>
    <row r="28" spans="1:36" ht="39.6" x14ac:dyDescent="0.3">
      <c r="A28" s="28">
        <v>12</v>
      </c>
      <c r="B28" s="26" t="s">
        <v>30</v>
      </c>
      <c r="C28" s="21"/>
      <c r="D28" s="21">
        <v>908</v>
      </c>
      <c r="E28" s="21">
        <v>654</v>
      </c>
      <c r="F28" s="21">
        <v>500</v>
      </c>
      <c r="G28" s="21">
        <v>292</v>
      </c>
      <c r="H28" s="16">
        <v>96</v>
      </c>
      <c r="I28" s="45">
        <v>96</v>
      </c>
      <c r="J28" s="45">
        <v>96</v>
      </c>
      <c r="K28" s="45">
        <v>96</v>
      </c>
      <c r="L28" s="45">
        <v>118</v>
      </c>
      <c r="M28" s="45">
        <v>160</v>
      </c>
      <c r="N28" s="45"/>
      <c r="O28" s="33">
        <v>178</v>
      </c>
      <c r="P28" s="33">
        <v>178</v>
      </c>
      <c r="Q28" s="33">
        <v>257</v>
      </c>
      <c r="R28" s="33">
        <v>276</v>
      </c>
      <c r="S28" s="33">
        <v>276</v>
      </c>
      <c r="T28" s="33">
        <v>276</v>
      </c>
      <c r="U28" s="33">
        <v>276</v>
      </c>
      <c r="V28" s="33">
        <v>306</v>
      </c>
      <c r="W28" s="33">
        <v>317</v>
      </c>
      <c r="X28" s="33">
        <v>320</v>
      </c>
      <c r="Y28" s="33"/>
      <c r="Z28" s="33">
        <v>307</v>
      </c>
      <c r="AA28" s="33"/>
      <c r="AB28" s="33">
        <v>303</v>
      </c>
      <c r="AC28" s="33">
        <v>303</v>
      </c>
      <c r="AD28" s="33">
        <v>288</v>
      </c>
      <c r="AE28" s="33">
        <v>278</v>
      </c>
      <c r="AF28" s="33">
        <v>276</v>
      </c>
      <c r="AG28" s="33">
        <v>278</v>
      </c>
      <c r="AH28" s="33"/>
      <c r="AI28" s="33">
        <v>278</v>
      </c>
      <c r="AJ28" s="33"/>
    </row>
    <row r="29" spans="1:36" ht="52.8" x14ac:dyDescent="0.3">
      <c r="A29" s="17">
        <v>13</v>
      </c>
      <c r="B29" s="1" t="s">
        <v>31</v>
      </c>
      <c r="C29" s="19"/>
      <c r="D29" s="19">
        <v>0</v>
      </c>
      <c r="E29" s="19">
        <v>0</v>
      </c>
      <c r="F29" s="19">
        <v>0</v>
      </c>
      <c r="G29" s="19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0.4</v>
      </c>
      <c r="N29" s="20"/>
      <c r="O29" s="13">
        <v>0.4</v>
      </c>
      <c r="P29" s="13">
        <v>0.7</v>
      </c>
      <c r="Q29" s="13">
        <v>1.7</v>
      </c>
      <c r="R29" s="13">
        <v>1.4</v>
      </c>
      <c r="S29" s="13">
        <v>2.5</v>
      </c>
      <c r="T29" s="13">
        <v>4.7</v>
      </c>
      <c r="U29" s="13">
        <v>4.7</v>
      </c>
      <c r="V29" s="13">
        <v>7.1</v>
      </c>
      <c r="W29" s="13">
        <v>9.1</v>
      </c>
      <c r="X29" s="13">
        <v>9.6999999999999993</v>
      </c>
      <c r="Y29" s="13"/>
      <c r="Z29" s="13">
        <v>7</v>
      </c>
      <c r="AA29" s="13"/>
      <c r="AB29" s="13">
        <v>9.9</v>
      </c>
      <c r="AC29" s="13">
        <v>10</v>
      </c>
      <c r="AD29" s="13">
        <v>10</v>
      </c>
      <c r="AE29" s="13">
        <v>9.6999999999999993</v>
      </c>
      <c r="AF29" s="13">
        <v>7.9</v>
      </c>
      <c r="AG29" s="13">
        <v>6.4</v>
      </c>
      <c r="AH29" s="13"/>
      <c r="AI29" s="13">
        <v>8</v>
      </c>
      <c r="AJ29" s="13"/>
    </row>
    <row r="30" spans="1:36" x14ac:dyDescent="0.3">
      <c r="A30" s="14">
        <v>14</v>
      </c>
      <c r="B30" s="28" t="s">
        <v>32</v>
      </c>
      <c r="C30" s="19"/>
      <c r="D30" s="19">
        <v>0</v>
      </c>
      <c r="E30" s="19">
        <v>0</v>
      </c>
      <c r="F30" s="19">
        <v>0</v>
      </c>
      <c r="G30" s="19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19"/>
      <c r="O30" s="13">
        <v>7</v>
      </c>
      <c r="P30" s="13">
        <v>8</v>
      </c>
      <c r="Q30" s="13">
        <v>8</v>
      </c>
      <c r="R30" s="13">
        <v>15</v>
      </c>
      <c r="S30" s="13">
        <v>22</v>
      </c>
      <c r="T30" s="13">
        <v>22</v>
      </c>
      <c r="U30" s="13">
        <v>22</v>
      </c>
      <c r="V30" s="13">
        <v>22</v>
      </c>
      <c r="W30" s="13">
        <v>23.33</v>
      </c>
      <c r="X30" s="13">
        <v>24</v>
      </c>
      <c r="Y30" s="13"/>
      <c r="Z30" s="13">
        <v>24</v>
      </c>
      <c r="AA30" s="13"/>
      <c r="AB30" s="13">
        <v>24</v>
      </c>
      <c r="AC30" s="13">
        <v>24</v>
      </c>
      <c r="AD30" s="13">
        <v>23</v>
      </c>
      <c r="AE30" s="13">
        <v>23.5</v>
      </c>
      <c r="AF30" s="13">
        <v>24</v>
      </c>
      <c r="AG30" s="13">
        <v>24</v>
      </c>
      <c r="AH30" s="13"/>
      <c r="AI30" s="13">
        <v>24</v>
      </c>
      <c r="AJ30" s="13"/>
    </row>
    <row r="31" spans="1:36" x14ac:dyDescent="0.3">
      <c r="A31" s="17">
        <v>15</v>
      </c>
      <c r="B31" s="28" t="s">
        <v>33</v>
      </c>
      <c r="C31" s="19"/>
      <c r="D31" s="19">
        <v>15</v>
      </c>
      <c r="E31" s="19">
        <v>15</v>
      </c>
      <c r="F31" s="19">
        <v>15</v>
      </c>
      <c r="G31" s="19">
        <v>15</v>
      </c>
      <c r="H31" s="20">
        <v>13</v>
      </c>
      <c r="I31" s="20">
        <v>7</v>
      </c>
      <c r="J31" s="20">
        <v>7</v>
      </c>
      <c r="K31" s="20">
        <v>7</v>
      </c>
      <c r="L31" s="20">
        <v>6</v>
      </c>
      <c r="M31" s="20">
        <v>5</v>
      </c>
      <c r="N31" s="19"/>
      <c r="O31" s="13">
        <v>7</v>
      </c>
      <c r="P31" s="13">
        <v>15</v>
      </c>
      <c r="Q31" s="13">
        <v>10</v>
      </c>
      <c r="R31" s="13">
        <v>15</v>
      </c>
      <c r="S31" s="13">
        <v>15</v>
      </c>
      <c r="T31" s="13">
        <v>18</v>
      </c>
      <c r="U31" s="13">
        <v>18</v>
      </c>
      <c r="V31" s="13">
        <v>20</v>
      </c>
      <c r="W31" s="13">
        <v>20</v>
      </c>
      <c r="X31" s="13">
        <v>20</v>
      </c>
      <c r="Y31" s="13"/>
      <c r="Z31" s="13">
        <v>20</v>
      </c>
      <c r="AA31" s="13"/>
      <c r="AB31" s="13">
        <v>15</v>
      </c>
      <c r="AC31" s="13">
        <v>15</v>
      </c>
      <c r="AD31" s="13">
        <v>15</v>
      </c>
      <c r="AE31" s="13">
        <v>15</v>
      </c>
      <c r="AF31" s="13">
        <v>15</v>
      </c>
      <c r="AG31" s="13">
        <v>15</v>
      </c>
      <c r="AH31" s="13"/>
      <c r="AI31" s="13">
        <v>15</v>
      </c>
      <c r="AJ31" s="13"/>
    </row>
    <row r="32" spans="1:36" x14ac:dyDescent="0.3">
      <c r="A32" s="14">
        <v>16</v>
      </c>
      <c r="B32" s="46" t="s">
        <v>34</v>
      </c>
      <c r="C32" s="19"/>
      <c r="D32" s="19">
        <v>0</v>
      </c>
      <c r="E32" s="19">
        <v>0</v>
      </c>
      <c r="F32" s="19">
        <v>0</v>
      </c>
      <c r="G32" s="19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19"/>
      <c r="O32" s="13">
        <v>0</v>
      </c>
      <c r="P32" s="13">
        <v>0</v>
      </c>
      <c r="Q32" s="13">
        <v>0</v>
      </c>
      <c r="R32" s="13">
        <v>0</v>
      </c>
      <c r="S32" s="13">
        <v>11</v>
      </c>
      <c r="T32" s="13">
        <v>16.5</v>
      </c>
      <c r="U32" s="13">
        <v>16.5</v>
      </c>
      <c r="V32" s="13">
        <v>16.5</v>
      </c>
      <c r="W32" s="13">
        <v>16.5</v>
      </c>
      <c r="X32" s="13">
        <v>22</v>
      </c>
      <c r="Y32" s="13"/>
      <c r="Z32" s="13">
        <v>23.3</v>
      </c>
      <c r="AA32" s="13"/>
      <c r="AB32" s="13">
        <v>30.1</v>
      </c>
      <c r="AC32" s="13">
        <v>27.5</v>
      </c>
      <c r="AD32" s="13">
        <v>27.5</v>
      </c>
      <c r="AE32" s="13">
        <v>35</v>
      </c>
      <c r="AF32" s="13">
        <v>24</v>
      </c>
      <c r="AG32" s="13">
        <v>29.5</v>
      </c>
      <c r="AH32" s="13"/>
      <c r="AI32" s="13">
        <v>35</v>
      </c>
      <c r="AJ32" s="13"/>
    </row>
    <row r="33" spans="1:36" x14ac:dyDescent="0.3">
      <c r="A33" s="14">
        <v>17</v>
      </c>
      <c r="B33" s="46" t="s">
        <v>35</v>
      </c>
      <c r="C33" s="19"/>
      <c r="D33" s="19">
        <v>3</v>
      </c>
      <c r="E33" s="19">
        <v>3</v>
      </c>
      <c r="F33" s="19">
        <v>3</v>
      </c>
      <c r="G33" s="19">
        <v>3</v>
      </c>
      <c r="H33" s="20">
        <v>3</v>
      </c>
      <c r="I33" s="20">
        <v>2</v>
      </c>
      <c r="J33" s="20">
        <v>2</v>
      </c>
      <c r="K33" s="20">
        <v>2</v>
      </c>
      <c r="L33" s="20">
        <v>2</v>
      </c>
      <c r="M33" s="20">
        <v>2</v>
      </c>
      <c r="N33" s="19"/>
      <c r="O33" s="13">
        <v>2</v>
      </c>
      <c r="P33" s="13">
        <v>2</v>
      </c>
      <c r="Q33" s="13">
        <v>2</v>
      </c>
      <c r="R33" s="13">
        <v>2</v>
      </c>
      <c r="S33" s="13">
        <v>2</v>
      </c>
      <c r="T33" s="13">
        <v>2</v>
      </c>
      <c r="U33" s="13">
        <v>2</v>
      </c>
      <c r="V33" s="13">
        <v>2</v>
      </c>
      <c r="W33" s="13">
        <v>2</v>
      </c>
      <c r="X33" s="13">
        <v>2</v>
      </c>
      <c r="Y33" s="13"/>
      <c r="Z33" s="13">
        <v>2</v>
      </c>
      <c r="AA33" s="13"/>
      <c r="AB33" s="13">
        <v>2</v>
      </c>
      <c r="AC33" s="13">
        <v>2</v>
      </c>
      <c r="AD33" s="13">
        <v>2</v>
      </c>
      <c r="AE33" s="13">
        <v>2</v>
      </c>
      <c r="AF33" s="13">
        <v>2</v>
      </c>
      <c r="AG33" s="13">
        <v>2</v>
      </c>
      <c r="AH33" s="13"/>
      <c r="AI33" s="13">
        <v>2</v>
      </c>
      <c r="AJ33" s="13"/>
    </row>
    <row r="34" spans="1:36" x14ac:dyDescent="0.3">
      <c r="A34" s="47">
        <v>18</v>
      </c>
      <c r="B34" s="48" t="s">
        <v>36</v>
      </c>
      <c r="C34" s="49"/>
      <c r="D34" s="49">
        <v>62</v>
      </c>
      <c r="E34" s="49">
        <v>65</v>
      </c>
      <c r="F34" s="49">
        <v>65</v>
      </c>
      <c r="G34" s="49">
        <v>88</v>
      </c>
      <c r="H34" s="49">
        <v>90</v>
      </c>
      <c r="I34" s="49">
        <v>65</v>
      </c>
      <c r="J34" s="49">
        <v>77</v>
      </c>
      <c r="K34" s="49">
        <v>70</v>
      </c>
      <c r="L34" s="49">
        <v>72</v>
      </c>
      <c r="M34" s="49">
        <v>75</v>
      </c>
      <c r="N34" s="49">
        <f>AVERAGE(D34:M34)</f>
        <v>72.900000000000006</v>
      </c>
      <c r="O34" s="49">
        <v>102</v>
      </c>
      <c r="P34" s="49">
        <v>105</v>
      </c>
      <c r="Q34" s="49">
        <v>105</v>
      </c>
      <c r="R34" s="49">
        <v>157</v>
      </c>
      <c r="S34" s="49">
        <v>170</v>
      </c>
      <c r="T34" s="49">
        <v>167</v>
      </c>
      <c r="U34" s="49">
        <v>167</v>
      </c>
      <c r="V34" s="49">
        <v>155</v>
      </c>
      <c r="W34" s="49">
        <v>152</v>
      </c>
      <c r="X34" s="49">
        <v>160</v>
      </c>
      <c r="Y34" s="49">
        <f>AVERAGE(O34:X34)</f>
        <v>144</v>
      </c>
      <c r="Z34" s="49">
        <v>160</v>
      </c>
      <c r="AA34" s="49"/>
      <c r="AB34" s="49">
        <v>155</v>
      </c>
      <c r="AC34" s="49">
        <v>155</v>
      </c>
      <c r="AD34" s="49">
        <v>155</v>
      </c>
      <c r="AE34" s="49">
        <v>155</v>
      </c>
      <c r="AF34" s="49">
        <v>155</v>
      </c>
      <c r="AG34" s="49">
        <v>150</v>
      </c>
      <c r="AH34" s="49"/>
      <c r="AI34" s="49">
        <v>150</v>
      </c>
      <c r="AJ34" s="49">
        <f>AVERAGE(Z34:AI34)</f>
        <v>154.375</v>
      </c>
    </row>
    <row r="35" spans="1:36" x14ac:dyDescent="0.3">
      <c r="A35" s="28">
        <v>19</v>
      </c>
      <c r="B35" s="28" t="s">
        <v>37</v>
      </c>
      <c r="C35" s="12"/>
      <c r="D35" s="12">
        <v>20</v>
      </c>
      <c r="E35" s="12">
        <v>20</v>
      </c>
      <c r="F35" s="12">
        <v>20</v>
      </c>
      <c r="G35" s="12">
        <v>20</v>
      </c>
      <c r="H35" s="16">
        <v>20</v>
      </c>
      <c r="I35" s="16">
        <v>20</v>
      </c>
      <c r="J35" s="16">
        <v>25</v>
      </c>
      <c r="K35" s="16">
        <v>25</v>
      </c>
      <c r="L35" s="16">
        <v>25</v>
      </c>
      <c r="M35" s="16">
        <v>25</v>
      </c>
      <c r="N35" s="12"/>
      <c r="O35" s="33">
        <v>35</v>
      </c>
      <c r="P35" s="33">
        <v>33</v>
      </c>
      <c r="Q35" s="33">
        <v>20</v>
      </c>
      <c r="R35" s="33">
        <v>35</v>
      </c>
      <c r="S35" s="33">
        <v>30</v>
      </c>
      <c r="T35" s="33">
        <v>25</v>
      </c>
      <c r="U35" s="33">
        <v>25</v>
      </c>
      <c r="V35" s="33">
        <v>30</v>
      </c>
      <c r="W35" s="33">
        <v>50</v>
      </c>
      <c r="X35" s="33">
        <v>50</v>
      </c>
      <c r="Y35" s="33"/>
      <c r="Z35" s="33">
        <v>51</v>
      </c>
      <c r="AA35" s="33"/>
      <c r="AB35" s="33">
        <v>50</v>
      </c>
      <c r="AC35" s="33">
        <v>50</v>
      </c>
      <c r="AD35" s="33">
        <v>50</v>
      </c>
      <c r="AE35" s="33">
        <v>50</v>
      </c>
      <c r="AF35" s="33">
        <v>50</v>
      </c>
      <c r="AG35" s="33">
        <v>50</v>
      </c>
      <c r="AH35" s="33"/>
      <c r="AI35" s="33">
        <v>44</v>
      </c>
      <c r="AJ35" s="33"/>
    </row>
    <row r="36" spans="1:36" x14ac:dyDescent="0.3">
      <c r="A36" s="17"/>
      <c r="B36" s="6" t="s">
        <v>38</v>
      </c>
      <c r="C36" s="19"/>
      <c r="D36" s="19">
        <v>2</v>
      </c>
      <c r="E36" s="19">
        <v>2</v>
      </c>
      <c r="F36" s="19">
        <v>2</v>
      </c>
      <c r="G36" s="19">
        <v>2</v>
      </c>
      <c r="H36" s="20">
        <v>2</v>
      </c>
      <c r="I36" s="20">
        <v>2</v>
      </c>
      <c r="J36" s="20">
        <v>7</v>
      </c>
      <c r="K36" s="20">
        <v>7</v>
      </c>
      <c r="L36" s="20">
        <v>7</v>
      </c>
      <c r="M36" s="20">
        <v>7</v>
      </c>
      <c r="N36" s="19"/>
      <c r="O36" s="13">
        <v>17</v>
      </c>
      <c r="P36" s="13">
        <v>17</v>
      </c>
      <c r="Q36" s="13">
        <v>10</v>
      </c>
      <c r="R36" s="13">
        <v>18</v>
      </c>
      <c r="S36" s="13">
        <v>15</v>
      </c>
      <c r="T36" s="13">
        <v>13</v>
      </c>
      <c r="U36" s="13">
        <v>13</v>
      </c>
      <c r="V36" s="13">
        <v>20</v>
      </c>
      <c r="W36" s="13">
        <v>35</v>
      </c>
      <c r="X36" s="13">
        <v>35</v>
      </c>
      <c r="Y36" s="13"/>
      <c r="Z36" s="13">
        <v>35</v>
      </c>
      <c r="AA36" s="13"/>
      <c r="AB36" s="13">
        <v>35</v>
      </c>
      <c r="AC36" s="13">
        <v>35</v>
      </c>
      <c r="AD36" s="13">
        <v>35</v>
      </c>
      <c r="AE36" s="13">
        <v>35</v>
      </c>
      <c r="AF36" s="13">
        <v>35</v>
      </c>
      <c r="AG36" s="13">
        <v>35</v>
      </c>
      <c r="AH36" s="13"/>
      <c r="AI36" s="13">
        <v>32</v>
      </c>
      <c r="AJ36" s="13"/>
    </row>
    <row r="37" spans="1:36" x14ac:dyDescent="0.3">
      <c r="A37" s="14"/>
      <c r="B37" s="6" t="s">
        <v>39</v>
      </c>
      <c r="C37" s="19"/>
      <c r="D37" s="19">
        <v>18</v>
      </c>
      <c r="E37" s="19">
        <v>18</v>
      </c>
      <c r="F37" s="19">
        <v>18</v>
      </c>
      <c r="G37" s="19">
        <v>18</v>
      </c>
      <c r="H37" s="20">
        <v>18</v>
      </c>
      <c r="I37" s="20">
        <v>18</v>
      </c>
      <c r="J37" s="20">
        <v>18</v>
      </c>
      <c r="K37" s="20">
        <v>18</v>
      </c>
      <c r="L37" s="20">
        <v>18</v>
      </c>
      <c r="M37" s="20">
        <v>18</v>
      </c>
      <c r="N37" s="19">
        <f>AVERAGE(D37:M37)</f>
        <v>18</v>
      </c>
      <c r="O37" s="13">
        <v>18</v>
      </c>
      <c r="P37" s="13">
        <v>16</v>
      </c>
      <c r="Q37" s="13">
        <v>10</v>
      </c>
      <c r="R37" s="13">
        <v>17</v>
      </c>
      <c r="S37" s="13">
        <v>15</v>
      </c>
      <c r="T37" s="13">
        <v>12</v>
      </c>
      <c r="U37" s="13">
        <v>12</v>
      </c>
      <c r="V37" s="13">
        <v>10</v>
      </c>
      <c r="W37" s="13">
        <v>15</v>
      </c>
      <c r="X37" s="13">
        <v>15</v>
      </c>
      <c r="Y37" s="19">
        <f>AVERAGE(O37:X37)</f>
        <v>14</v>
      </c>
      <c r="Z37" s="13">
        <v>16</v>
      </c>
      <c r="AA37" s="13"/>
      <c r="AB37" s="13">
        <v>15</v>
      </c>
      <c r="AC37" s="13">
        <v>15</v>
      </c>
      <c r="AD37" s="13">
        <v>15</v>
      </c>
      <c r="AE37" s="13">
        <v>15</v>
      </c>
      <c r="AF37" s="13">
        <v>15</v>
      </c>
      <c r="AG37" s="13">
        <v>15</v>
      </c>
      <c r="AH37" s="13"/>
      <c r="AI37" s="13">
        <v>12</v>
      </c>
      <c r="AJ37" s="19">
        <f>AVERAGE(Z37:AI37)</f>
        <v>14.75</v>
      </c>
    </row>
    <row r="38" spans="1:36" ht="66" x14ac:dyDescent="0.3">
      <c r="A38" s="14">
        <v>20</v>
      </c>
      <c r="B38" s="50" t="s">
        <v>40</v>
      </c>
      <c r="C38" s="19"/>
      <c r="D38" s="19">
        <v>485</v>
      </c>
      <c r="E38" s="19">
        <v>460</v>
      </c>
      <c r="F38" s="19">
        <v>70</v>
      </c>
      <c r="G38" s="19">
        <v>35</v>
      </c>
      <c r="H38" s="20">
        <v>5</v>
      </c>
      <c r="I38" s="20">
        <v>5</v>
      </c>
      <c r="J38" s="20">
        <v>5</v>
      </c>
      <c r="K38" s="20">
        <v>5</v>
      </c>
      <c r="L38" s="20">
        <v>5</v>
      </c>
      <c r="M38" s="20">
        <v>5</v>
      </c>
      <c r="N38" s="19"/>
      <c r="O38" s="13">
        <v>5</v>
      </c>
      <c r="P38" s="13">
        <v>5</v>
      </c>
      <c r="Q38" s="13">
        <v>5</v>
      </c>
      <c r="R38" s="13">
        <v>5</v>
      </c>
      <c r="S38" s="13">
        <v>5</v>
      </c>
      <c r="T38" s="33">
        <v>5</v>
      </c>
      <c r="U38" s="33">
        <v>5</v>
      </c>
      <c r="V38" s="33">
        <v>5</v>
      </c>
      <c r="W38" s="33">
        <v>5</v>
      </c>
      <c r="X38" s="33">
        <v>5</v>
      </c>
      <c r="Y38" s="33"/>
      <c r="Z38" s="33">
        <v>5</v>
      </c>
      <c r="AA38" s="33"/>
      <c r="AB38" s="33">
        <v>5</v>
      </c>
      <c r="AC38" s="33">
        <v>5</v>
      </c>
      <c r="AD38" s="33">
        <v>5</v>
      </c>
      <c r="AE38" s="33">
        <v>5</v>
      </c>
      <c r="AF38" s="33">
        <v>5</v>
      </c>
      <c r="AG38" s="33">
        <v>5</v>
      </c>
      <c r="AH38" s="33"/>
      <c r="AI38" s="33">
        <v>5</v>
      </c>
      <c r="AJ38" s="33"/>
    </row>
  </sheetData>
  <mergeCells count="36">
    <mergeCell ref="AE2:AE3"/>
    <mergeCell ref="AF2:AF3"/>
    <mergeCell ref="AG2:AG3"/>
    <mergeCell ref="AH2:AH3"/>
    <mergeCell ref="AI2:AI3"/>
    <mergeCell ref="AJ2:AJ3"/>
    <mergeCell ref="Y2:Y3"/>
    <mergeCell ref="Z2:Z3"/>
    <mergeCell ref="AA2:AA3"/>
    <mergeCell ref="AB2:AB3"/>
    <mergeCell ref="AC2:AC3"/>
    <mergeCell ref="AD2:AD3"/>
    <mergeCell ref="S2:S3"/>
    <mergeCell ref="T2:T3"/>
    <mergeCell ref="U2:U3"/>
    <mergeCell ref="V2:V3"/>
    <mergeCell ref="W2:W3"/>
    <mergeCell ref="X2:X3"/>
    <mergeCell ref="M2:M3"/>
    <mergeCell ref="N2:N3"/>
    <mergeCell ref="O2:O3"/>
    <mergeCell ref="P2:P3"/>
    <mergeCell ref="Q2:Q3"/>
    <mergeCell ref="R2:R3"/>
    <mergeCell ref="G2:G3"/>
    <mergeCell ref="H2:H3"/>
    <mergeCell ref="I2:I3"/>
    <mergeCell ref="J2:J3"/>
    <mergeCell ref="K2:K3"/>
    <mergeCell ref="L2:L3"/>
    <mergeCell ref="D1:F1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2025-11-07T06:17:22Z</dcterms:modified>
</cp:coreProperties>
</file>